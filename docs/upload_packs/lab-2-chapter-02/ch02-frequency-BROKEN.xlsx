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A03123"/>
      <sz val="13"/>
    </font>
    <font>
      <i val="1"/>
      <color rgb="00666666"/>
      <sz val="9"/>
    </font>
    <font>
      <b val="1"/>
    </font>
    <font>
      <i val="1"/>
      <color rgb="00A03123"/>
      <sz val="10"/>
    </font>
  </fonts>
  <fills count="3">
    <fill>
      <patternFill/>
    </fill>
    <fill>
      <patternFill patternType="gray125"/>
    </fill>
    <fill>
      <patternFill patternType="solid">
        <fgColor rgb="00A0312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Population growth, six classes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'Distribution'!D4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'Distribution'!$A$5:$A$10</f>
            </numRef>
          </cat>
          <val>
            <numRef>
              <f>'Distribution'!$D$5:$D$10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Population growth over the decade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Member</t>
        </is>
      </c>
      <c r="B1" s="1" t="inlineStr">
        <is>
          <t>HPI</t>
        </is>
      </c>
      <c r="C1" s="1" t="inlineStr">
        <is>
          <t>HPIO</t>
        </is>
      </c>
      <c r="D1" s="1" t="inlineStr">
        <is>
          <t>gHPI</t>
        </is>
      </c>
      <c r="E1" s="1" t="inlineStr">
        <is>
          <t>gHPI5</t>
        </is>
      </c>
      <c r="F1" s="1" t="inlineStr">
        <is>
          <t>nDOWN</t>
        </is>
      </c>
      <c r="G1" s="1" t="inlineStr">
        <is>
          <t>UR</t>
        </is>
      </c>
      <c r="H1" s="1" t="inlineStr">
        <is>
          <t>POPN</t>
        </is>
      </c>
      <c r="I1" s="1" t="inlineStr">
        <is>
          <t>POPO</t>
        </is>
      </c>
      <c r="J1" s="1" t="inlineStr">
        <is>
          <t>gPOP</t>
        </is>
      </c>
      <c r="K1" s="1" t="inlineStr">
        <is>
          <t>HPI_date</t>
        </is>
      </c>
      <c r="L1" s="1" t="inlineStr">
        <is>
          <t>HPIO_date</t>
        </is>
      </c>
      <c r="M1" s="1" t="inlineStr">
        <is>
          <t>UR_date</t>
        </is>
      </c>
      <c r="N1" s="1" t="inlineStr">
        <is>
          <t>POP_date</t>
        </is>
      </c>
    </row>
    <row r="2">
      <c r="A2" t="inlineStr">
        <is>
          <t>AL</t>
        </is>
      </c>
      <c r="B2" t="n">
        <v>540.51</v>
      </c>
      <c r="C2" t="n">
        <v>286.54</v>
      </c>
      <c r="D2" t="n">
        <v>88.59999999999999</v>
      </c>
      <c r="E2" t="n">
        <v>48.2</v>
      </c>
      <c r="F2" t="n">
        <v>5</v>
      </c>
      <c r="G2" t="n">
        <v>3.2</v>
      </c>
      <c r="H2" t="n">
        <v>5193.088</v>
      </c>
      <c r="I2" t="n">
        <v>4854.803</v>
      </c>
      <c r="J2" t="n">
        <v>7</v>
      </c>
      <c r="K2" t="inlineStr">
        <is>
          <t>2026-01-01</t>
        </is>
      </c>
      <c r="L2" t="inlineStr">
        <is>
          <t>2016-01-01</t>
        </is>
      </c>
      <c r="M2" t="inlineStr">
        <is>
          <t>2026-06-01</t>
        </is>
      </c>
      <c r="N2" t="inlineStr">
        <is>
          <t>2025-01-01</t>
        </is>
      </c>
    </row>
    <row r="3">
      <c r="A3" t="inlineStr">
        <is>
          <t>AK</t>
        </is>
      </c>
      <c r="B3" t="n">
        <v>495.28</v>
      </c>
      <c r="C3" t="n">
        <v>310.87</v>
      </c>
      <c r="D3" t="n">
        <v>59.3</v>
      </c>
      <c r="E3" t="n">
        <v>42.5</v>
      </c>
      <c r="F3" t="n">
        <v>7</v>
      </c>
      <c r="G3" t="n">
        <v>4.4</v>
      </c>
      <c r="H3" t="n">
        <v>737.27</v>
      </c>
      <c r="I3" t="n">
        <v>738.4299999999999</v>
      </c>
      <c r="J3" t="n">
        <v>-0.2</v>
      </c>
      <c r="K3" t="inlineStr">
        <is>
          <t>2026-01-01</t>
        </is>
      </c>
      <c r="L3" t="inlineStr">
        <is>
          <t>2016-01-01</t>
        </is>
      </c>
      <c r="M3" t="inlineStr">
        <is>
          <t>2026-06-01</t>
        </is>
      </c>
      <c r="N3" t="inlineStr">
        <is>
          <t>2025-01-01</t>
        </is>
      </c>
    </row>
    <row r="4">
      <c r="A4" t="inlineStr">
        <is>
          <t>AZ</t>
        </is>
      </c>
      <c r="B4" t="n">
        <v>734.15</v>
      </c>
      <c r="C4" t="n">
        <v>331.39</v>
      </c>
      <c r="D4" t="n">
        <v>121.5</v>
      </c>
      <c r="E4" t="n">
        <v>47.7</v>
      </c>
      <c r="F4" t="n">
        <v>3</v>
      </c>
      <c r="G4" t="n">
        <v>4.9</v>
      </c>
      <c r="H4" t="n">
        <v>7623.818</v>
      </c>
      <c r="I4" t="n">
        <v>6832.81</v>
      </c>
      <c r="J4" t="n">
        <v>11.6</v>
      </c>
      <c r="K4" t="inlineStr">
        <is>
          <t>2026-01-01</t>
        </is>
      </c>
      <c r="L4" t="inlineStr">
        <is>
          <t>2016-01-01</t>
        </is>
      </c>
      <c r="M4" t="inlineStr">
        <is>
          <t>2026-06-01</t>
        </is>
      </c>
      <c r="N4" t="inlineStr">
        <is>
          <t>2025-01-01</t>
        </is>
      </c>
    </row>
    <row r="5">
      <c r="A5" t="inlineStr">
        <is>
          <t>AR</t>
        </is>
      </c>
      <c r="B5" t="n">
        <v>478.52</v>
      </c>
      <c r="C5" t="n">
        <v>254.07</v>
      </c>
      <c r="D5" t="n">
        <v>88.3</v>
      </c>
      <c r="E5" t="n">
        <v>52.3</v>
      </c>
      <c r="F5" t="n">
        <v>1</v>
      </c>
      <c r="G5" t="n">
        <v>4.1</v>
      </c>
      <c r="H5" t="n">
        <v>3114.791</v>
      </c>
      <c r="I5" t="n">
        <v>2979.732</v>
      </c>
      <c r="J5" t="n">
        <v>4.5</v>
      </c>
      <c r="K5" t="inlineStr">
        <is>
          <t>2026-01-01</t>
        </is>
      </c>
      <c r="L5" t="inlineStr">
        <is>
          <t>2016-01-01</t>
        </is>
      </c>
      <c r="M5" t="inlineStr">
        <is>
          <t>2026-06-01</t>
        </is>
      </c>
      <c r="N5" t="inlineStr">
        <is>
          <t>2025-01-01</t>
        </is>
      </c>
    </row>
    <row r="6">
      <c r="A6" t="inlineStr">
        <is>
          <t>CA</t>
        </is>
      </c>
      <c r="B6" t="n">
        <v>976.79</v>
      </c>
      <c r="C6" t="n">
        <v>543.85</v>
      </c>
      <c r="D6" t="n">
        <v>79.59999999999999</v>
      </c>
      <c r="E6" t="n">
        <v>35.9</v>
      </c>
      <c r="F6" t="n">
        <v>5</v>
      </c>
      <c r="G6" t="n">
        <v>5.2</v>
      </c>
      <c r="H6" t="n">
        <v>39355.309</v>
      </c>
      <c r="I6" t="n">
        <v>38904.296</v>
      </c>
      <c r="J6" t="n">
        <v>1.2</v>
      </c>
      <c r="K6" t="inlineStr">
        <is>
          <t>2026-01-01</t>
        </is>
      </c>
      <c r="L6" t="inlineStr">
        <is>
          <t>2016-01-01</t>
        </is>
      </c>
      <c r="M6" t="inlineStr">
        <is>
          <t>2026-06-01</t>
        </is>
      </c>
      <c r="N6" t="inlineStr">
        <is>
          <t>2025-01-01</t>
        </is>
      </c>
    </row>
    <row r="7">
      <c r="A7" t="inlineStr">
        <is>
          <t>CO</t>
        </is>
      </c>
      <c r="B7" t="n">
        <v>854.97</v>
      </c>
      <c r="C7" t="n">
        <v>445.09</v>
      </c>
      <c r="D7" t="n">
        <v>92.09999999999999</v>
      </c>
      <c r="E7" t="n">
        <v>34.3</v>
      </c>
      <c r="F7" t="n">
        <v>5</v>
      </c>
      <c r="G7" t="n">
        <v>3.9</v>
      </c>
      <c r="H7" t="n">
        <v>6012.561</v>
      </c>
      <c r="I7" t="n">
        <v>5454.328</v>
      </c>
      <c r="J7" t="n">
        <v>10.2</v>
      </c>
      <c r="K7" t="inlineStr">
        <is>
          <t>2026-01-01</t>
        </is>
      </c>
      <c r="L7" t="inlineStr">
        <is>
          <t>2016-01-01</t>
        </is>
      </c>
      <c r="M7" t="inlineStr">
        <is>
          <t>2026-06-01</t>
        </is>
      </c>
      <c r="N7" t="inlineStr">
        <is>
          <t>2025-01-01</t>
        </is>
      </c>
    </row>
    <row r="8">
      <c r="A8" t="inlineStr">
        <is>
          <t>CT</t>
        </is>
      </c>
      <c r="B8" t="n">
        <v>720.72</v>
      </c>
      <c r="C8" t="n">
        <v>384.4</v>
      </c>
      <c r="D8" t="n">
        <v>87.5</v>
      </c>
      <c r="E8" t="n">
        <v>60.6</v>
      </c>
      <c r="F8" t="n">
        <v>5</v>
      </c>
      <c r="G8" t="n">
        <v>5.2</v>
      </c>
      <c r="H8" t="n">
        <v>3688.496</v>
      </c>
      <c r="I8" t="n">
        <v>3588.561</v>
      </c>
      <c r="J8" t="n">
        <v>2.8</v>
      </c>
      <c r="K8" t="inlineStr">
        <is>
          <t>2026-01-01</t>
        </is>
      </c>
      <c r="L8" t="inlineStr">
        <is>
          <t>2016-01-01</t>
        </is>
      </c>
      <c r="M8" t="inlineStr">
        <is>
          <t>2026-06-01</t>
        </is>
      </c>
      <c r="N8" t="inlineStr">
        <is>
          <t>2025-01-01</t>
        </is>
      </c>
    </row>
    <row r="9">
      <c r="A9" t="inlineStr">
        <is>
          <t>DE</t>
        </is>
      </c>
      <c r="B9" t="n">
        <v>775.22</v>
      </c>
      <c r="C9" t="n">
        <v>427.02</v>
      </c>
      <c r="D9" t="n">
        <v>81.5</v>
      </c>
      <c r="E9" t="n">
        <v>48.5</v>
      </c>
      <c r="F9" t="n">
        <v>2</v>
      </c>
      <c r="G9" t="n">
        <v>4.9</v>
      </c>
      <c r="H9" t="n">
        <v>1059.952</v>
      </c>
      <c r="I9" t="n">
        <v>942.0650000000001</v>
      </c>
      <c r="J9" t="n">
        <v>12.5</v>
      </c>
      <c r="K9" t="inlineStr">
        <is>
          <t>2026-01-01</t>
        </is>
      </c>
      <c r="L9" t="inlineStr">
        <is>
          <t>2016-01-01</t>
        </is>
      </c>
      <c r="M9" t="inlineStr">
        <is>
          <t>2026-06-01</t>
        </is>
      </c>
      <c r="N9" t="inlineStr">
        <is>
          <t>2025-01-01</t>
        </is>
      </c>
    </row>
    <row r="10">
      <c r="A10" t="inlineStr">
        <is>
          <t>FL</t>
        </is>
      </c>
      <c r="B10" t="n">
        <v>827.88</v>
      </c>
      <c r="C10" t="n">
        <v>366.13</v>
      </c>
      <c r="D10" t="n">
        <v>126.1</v>
      </c>
      <c r="E10" t="n">
        <v>55.9</v>
      </c>
      <c r="F10" t="n">
        <v>4</v>
      </c>
      <c r="G10" t="n">
        <v>4.7</v>
      </c>
      <c r="H10" t="n">
        <v>23462.518</v>
      </c>
      <c r="I10" t="n">
        <v>20219.111</v>
      </c>
      <c r="J10" t="n">
        <v>16</v>
      </c>
      <c r="K10" t="inlineStr">
        <is>
          <t>2026-01-01</t>
        </is>
      </c>
      <c r="L10" t="inlineStr">
        <is>
          <t>2016-01-01</t>
        </is>
      </c>
      <c r="M10" t="inlineStr">
        <is>
          <t>2026-06-01</t>
        </is>
      </c>
      <c r="N10" t="inlineStr">
        <is>
          <t>2025-01-01</t>
        </is>
      </c>
    </row>
    <row r="11">
      <c r="A11" t="inlineStr">
        <is>
          <t>GA</t>
        </is>
      </c>
      <c r="B11" t="n">
        <v>662.12</v>
      </c>
      <c r="C11" t="n">
        <v>303.89</v>
      </c>
      <c r="D11" t="n">
        <v>117.9</v>
      </c>
      <c r="E11" t="n">
        <v>56</v>
      </c>
      <c r="F11" t="n">
        <v>1</v>
      </c>
      <c r="G11" t="n">
        <v>3.4</v>
      </c>
      <c r="H11" t="n">
        <v>11302.748</v>
      </c>
      <c r="I11" t="n">
        <v>10183.353</v>
      </c>
      <c r="J11" t="n">
        <v>11</v>
      </c>
      <c r="K11" t="inlineStr">
        <is>
          <t>2026-01-01</t>
        </is>
      </c>
      <c r="L11" t="inlineStr">
        <is>
          <t>2016-01-01</t>
        </is>
      </c>
      <c r="M11" t="inlineStr">
        <is>
          <t>2026-06-01</t>
        </is>
      </c>
      <c r="N11" t="inlineStr">
        <is>
          <t>2025-01-01</t>
        </is>
      </c>
    </row>
    <row r="12">
      <c r="A12" t="inlineStr">
        <is>
          <t>HI</t>
        </is>
      </c>
      <c r="B12" t="n">
        <v>950.52</v>
      </c>
      <c r="C12" t="n">
        <v>559.66</v>
      </c>
      <c r="D12" t="n">
        <v>69.8</v>
      </c>
      <c r="E12" t="n">
        <v>43.5</v>
      </c>
      <c r="F12" t="n">
        <v>9</v>
      </c>
      <c r="G12" t="n">
        <v>2.6</v>
      </c>
      <c r="H12" t="n">
        <v>1432.82</v>
      </c>
      <c r="I12" t="n">
        <v>1422.999</v>
      </c>
      <c r="J12" t="n">
        <v>0.7</v>
      </c>
      <c r="K12" t="inlineStr">
        <is>
          <t>2026-01-01</t>
        </is>
      </c>
      <c r="L12" t="inlineStr">
        <is>
          <t>2016-01-01</t>
        </is>
      </c>
      <c r="M12" t="inlineStr">
        <is>
          <t>2026-06-01</t>
        </is>
      </c>
      <c r="N12" t="inlineStr">
        <is>
          <t>2025-01-01</t>
        </is>
      </c>
    </row>
    <row r="13">
      <c r="A13" t="inlineStr">
        <is>
          <t>ID</t>
        </is>
      </c>
      <c r="B13" t="n">
        <v>873.6</v>
      </c>
      <c r="C13" t="n">
        <v>345.08</v>
      </c>
      <c r="D13" t="n">
        <v>153.2</v>
      </c>
      <c r="E13" t="n">
        <v>46.2</v>
      </c>
      <c r="F13" t="n">
        <v>5</v>
      </c>
      <c r="G13" t="n">
        <v>3.7</v>
      </c>
      <c r="H13" t="n">
        <v>2029.733</v>
      </c>
      <c r="I13" t="n">
        <v>1652.495</v>
      </c>
      <c r="J13" t="n">
        <v>22.8</v>
      </c>
      <c r="K13" t="inlineStr">
        <is>
          <t>2026-01-01</t>
        </is>
      </c>
      <c r="L13" t="inlineStr">
        <is>
          <t>2016-01-01</t>
        </is>
      </c>
      <c r="M13" t="inlineStr">
        <is>
          <t>2026-06-01</t>
        </is>
      </c>
      <c r="N13" t="inlineStr">
        <is>
          <t>2025-01-01</t>
        </is>
      </c>
    </row>
    <row r="14">
      <c r="A14" t="inlineStr">
        <is>
          <t>IL</t>
        </is>
      </c>
      <c r="B14" t="n">
        <v>550.96</v>
      </c>
      <c r="C14" t="n">
        <v>318.09</v>
      </c>
      <c r="D14" t="n">
        <v>73.2</v>
      </c>
      <c r="E14" t="n">
        <v>49.4</v>
      </c>
      <c r="F14" t="n">
        <v>3</v>
      </c>
      <c r="G14" t="n">
        <v>5.1</v>
      </c>
      <c r="H14" t="n">
        <v>12719.141</v>
      </c>
      <c r="I14" t="n">
        <v>12859.585</v>
      </c>
      <c r="J14" t="n">
        <v>-1.1</v>
      </c>
      <c r="K14" t="inlineStr">
        <is>
          <t>2026-01-01</t>
        </is>
      </c>
      <c r="L14" t="inlineStr">
        <is>
          <t>2016-01-01</t>
        </is>
      </c>
      <c r="M14" t="inlineStr">
        <is>
          <t>2026-06-01</t>
        </is>
      </c>
      <c r="N14" t="inlineStr">
        <is>
          <t>2025-01-01</t>
        </is>
      </c>
    </row>
    <row r="15">
      <c r="A15" t="inlineStr">
        <is>
          <t>IN</t>
        </is>
      </c>
      <c r="B15" t="n">
        <v>529.95</v>
      </c>
      <c r="C15" t="n">
        <v>259.63</v>
      </c>
      <c r="D15" t="n">
        <v>104.1</v>
      </c>
      <c r="E15" t="n">
        <v>52.7</v>
      </c>
      <c r="F15" t="n">
        <v>1</v>
      </c>
      <c r="G15" t="n">
        <v>3.3</v>
      </c>
      <c r="H15" t="n">
        <v>6973.333</v>
      </c>
      <c r="I15" t="n">
        <v>6611.442</v>
      </c>
      <c r="J15" t="n">
        <v>5.5</v>
      </c>
      <c r="K15" t="inlineStr">
        <is>
          <t>2026-01-01</t>
        </is>
      </c>
      <c r="L15" t="inlineStr">
        <is>
          <t>2016-01-01</t>
        </is>
      </c>
      <c r="M15" t="inlineStr">
        <is>
          <t>2026-06-01</t>
        </is>
      </c>
      <c r="N15" t="inlineStr">
        <is>
          <t>2025-01-01</t>
        </is>
      </c>
    </row>
    <row r="16">
      <c r="A16" t="inlineStr">
        <is>
          <t>IA</t>
        </is>
      </c>
      <c r="B16" t="n">
        <v>462.37</v>
      </c>
      <c r="C16" t="n">
        <v>272.28</v>
      </c>
      <c r="D16" t="n">
        <v>69.8</v>
      </c>
      <c r="E16" t="n">
        <v>42</v>
      </c>
      <c r="F16" t="n">
        <v>2</v>
      </c>
      <c r="G16" t="n">
        <v>3.2</v>
      </c>
      <c r="H16" t="n">
        <v>3238.387</v>
      </c>
      <c r="I16" t="n">
        <v>3122.541</v>
      </c>
      <c r="J16" t="n">
        <v>3.7</v>
      </c>
      <c r="K16" t="inlineStr">
        <is>
          <t>2026-01-01</t>
        </is>
      </c>
      <c r="L16" t="inlineStr">
        <is>
          <t>2016-01-01</t>
        </is>
      </c>
      <c r="M16" t="inlineStr">
        <is>
          <t>2026-06-01</t>
        </is>
      </c>
      <c r="N16" t="inlineStr">
        <is>
          <t>2025-01-01</t>
        </is>
      </c>
    </row>
    <row r="17">
      <c r="A17" t="inlineStr">
        <is>
          <t>KS</t>
        </is>
      </c>
      <c r="B17" t="n">
        <v>481.32</v>
      </c>
      <c r="C17" t="n">
        <v>251.28</v>
      </c>
      <c r="D17" t="n">
        <v>91.5</v>
      </c>
      <c r="E17" t="n">
        <v>49.3</v>
      </c>
      <c r="F17" t="n">
        <v>3</v>
      </c>
      <c r="G17" t="n">
        <v>3.8</v>
      </c>
      <c r="H17" t="n">
        <v>2977.22</v>
      </c>
      <c r="I17" t="n">
        <v>2910.717</v>
      </c>
      <c r="J17" t="n">
        <v>2.3</v>
      </c>
      <c r="K17" t="inlineStr">
        <is>
          <t>2026-01-01</t>
        </is>
      </c>
      <c r="L17" t="inlineStr">
        <is>
          <t>2016-01-01</t>
        </is>
      </c>
      <c r="M17" t="inlineStr">
        <is>
          <t>2026-06-01</t>
        </is>
      </c>
      <c r="N17" t="inlineStr">
        <is>
          <t>2025-01-01</t>
        </is>
      </c>
    </row>
    <row r="18">
      <c r="A18" t="inlineStr">
        <is>
          <t>KY</t>
        </is>
      </c>
      <c r="B18" t="n">
        <v>579.9299999999999</v>
      </c>
      <c r="C18" t="n">
        <v>302.12</v>
      </c>
      <c r="D18" t="n">
        <v>92</v>
      </c>
      <c r="E18" t="n">
        <v>50.2</v>
      </c>
      <c r="F18" t="n">
        <v>0</v>
      </c>
      <c r="G18" t="n">
        <v>4.7</v>
      </c>
      <c r="H18" t="n">
        <v>4606.864</v>
      </c>
      <c r="I18" t="n">
        <v>4429.126</v>
      </c>
      <c r="J18" t="n">
        <v>4</v>
      </c>
      <c r="K18" t="inlineStr">
        <is>
          <t>2026-01-01</t>
        </is>
      </c>
      <c r="L18" t="inlineStr">
        <is>
          <t>2016-01-01</t>
        </is>
      </c>
      <c r="M18" t="inlineStr">
        <is>
          <t>2026-06-01</t>
        </is>
      </c>
      <c r="N18" t="inlineStr">
        <is>
          <t>2025-01-01</t>
        </is>
      </c>
    </row>
    <row r="19">
      <c r="A19" t="inlineStr">
        <is>
          <t>LA</t>
        </is>
      </c>
      <c r="B19" t="n">
        <v>376.99</v>
      </c>
      <c r="C19" t="n">
        <v>265.3</v>
      </c>
      <c r="D19" t="n">
        <v>42.1</v>
      </c>
      <c r="E19" t="n">
        <v>22.7</v>
      </c>
      <c r="F19" t="n">
        <v>8</v>
      </c>
      <c r="G19" t="n">
        <v>4.4</v>
      </c>
      <c r="H19" t="n">
        <v>4618.189</v>
      </c>
      <c r="I19" t="n">
        <v>4666.998</v>
      </c>
      <c r="J19" t="n">
        <v>-1</v>
      </c>
      <c r="K19" t="inlineStr">
        <is>
          <t>2026-01-01</t>
        </is>
      </c>
      <c r="L19" t="inlineStr">
        <is>
          <t>2016-01-01</t>
        </is>
      </c>
      <c r="M19" t="inlineStr">
        <is>
          <t>2026-06-01</t>
        </is>
      </c>
      <c r="N19" t="inlineStr">
        <is>
          <t>2025-01-01</t>
        </is>
      </c>
    </row>
    <row r="20">
      <c r="A20" t="inlineStr">
        <is>
          <t>ME</t>
        </is>
      </c>
      <c r="B20" t="n">
        <v>1035.68</v>
      </c>
      <c r="C20" t="n">
        <v>464.26</v>
      </c>
      <c r="D20" t="n">
        <v>123.1</v>
      </c>
      <c r="E20" t="n">
        <v>64.90000000000001</v>
      </c>
      <c r="F20" t="n">
        <v>1</v>
      </c>
      <c r="G20" t="n">
        <v>3.1</v>
      </c>
      <c r="H20" t="n">
        <v>1414.874</v>
      </c>
      <c r="I20" t="n">
        <v>1329.098</v>
      </c>
      <c r="J20" t="n">
        <v>6.5</v>
      </c>
      <c r="K20" t="inlineStr">
        <is>
          <t>2026-01-01</t>
        </is>
      </c>
      <c r="L20" t="inlineStr">
        <is>
          <t>2016-01-01</t>
        </is>
      </c>
      <c r="M20" t="inlineStr">
        <is>
          <t>2026-06-01</t>
        </is>
      </c>
      <c r="N20" t="inlineStr">
        <is>
          <t>2025-01-01</t>
        </is>
      </c>
    </row>
    <row r="21">
      <c r="A21" t="inlineStr">
        <is>
          <t>MD</t>
        </is>
      </c>
      <c r="B21" t="n">
        <v>720.1</v>
      </c>
      <c r="C21" t="n">
        <v>436.32</v>
      </c>
      <c r="D21" t="n">
        <v>65</v>
      </c>
      <c r="E21" t="n">
        <v>37.8</v>
      </c>
      <c r="F21" t="n">
        <v>4</v>
      </c>
      <c r="G21" t="n">
        <v>4.3</v>
      </c>
      <c r="H21" t="n">
        <v>6265.347</v>
      </c>
      <c r="I21" t="n">
        <v>5988.528</v>
      </c>
      <c r="J21" t="n">
        <v>4.6</v>
      </c>
      <c r="K21" t="inlineStr">
        <is>
          <t>2026-01-01</t>
        </is>
      </c>
      <c r="L21" t="inlineStr">
        <is>
          <t>2016-01-01</t>
        </is>
      </c>
      <c r="M21" t="inlineStr">
        <is>
          <t>2026-06-01</t>
        </is>
      </c>
      <c r="N21" t="inlineStr">
        <is>
          <t>2025-01-01</t>
        </is>
      </c>
    </row>
    <row r="22">
      <c r="A22" t="inlineStr">
        <is>
          <t>MA</t>
        </is>
      </c>
      <c r="B22" t="n">
        <v>1312.72</v>
      </c>
      <c r="C22" t="n">
        <v>682.02</v>
      </c>
      <c r="D22" t="n">
        <v>92.5</v>
      </c>
      <c r="E22" t="n">
        <v>47.8</v>
      </c>
      <c r="F22" t="n">
        <v>1</v>
      </c>
      <c r="G22" t="n">
        <v>4.4</v>
      </c>
      <c r="H22" t="n">
        <v>7154.084</v>
      </c>
      <c r="I22" t="n">
        <v>6797.484</v>
      </c>
      <c r="J22" t="n">
        <v>5.2</v>
      </c>
      <c r="K22" t="inlineStr">
        <is>
          <t>2026-01-01</t>
        </is>
      </c>
      <c r="L22" t="inlineStr">
        <is>
          <t>2016-01-01</t>
        </is>
      </c>
      <c r="M22" t="inlineStr">
        <is>
          <t>2026-06-01</t>
        </is>
      </c>
      <c r="N22" t="inlineStr">
        <is>
          <t>2025-01-01</t>
        </is>
      </c>
    </row>
    <row r="23">
      <c r="A23" t="inlineStr">
        <is>
          <t>MI</t>
        </is>
      </c>
      <c r="B23" t="n">
        <v>574.03</v>
      </c>
      <c r="C23" t="n">
        <v>281.44</v>
      </c>
      <c r="D23" t="n">
        <v>104</v>
      </c>
      <c r="E23" t="n">
        <v>50.8</v>
      </c>
      <c r="F23" t="n">
        <v>2</v>
      </c>
      <c r="G23" t="n">
        <v>5</v>
      </c>
      <c r="H23" t="n">
        <v>10127.884</v>
      </c>
      <c r="I23" t="n">
        <v>9934.483</v>
      </c>
      <c r="J23" t="n">
        <v>1.9</v>
      </c>
      <c r="K23" t="inlineStr">
        <is>
          <t>2026-01-01</t>
        </is>
      </c>
      <c r="L23" t="inlineStr">
        <is>
          <t>2016-01-01</t>
        </is>
      </c>
      <c r="M23" t="inlineStr">
        <is>
          <t>2026-06-01</t>
        </is>
      </c>
      <c r="N23" t="inlineStr">
        <is>
          <t>2025-01-01</t>
        </is>
      </c>
    </row>
    <row r="24">
      <c r="A24" t="inlineStr">
        <is>
          <t>MN</t>
        </is>
      </c>
      <c r="B24" t="n">
        <v>604.1</v>
      </c>
      <c r="C24" t="n">
        <v>340.45</v>
      </c>
      <c r="D24" t="n">
        <v>77.40000000000001</v>
      </c>
      <c r="E24" t="n">
        <v>36.1</v>
      </c>
      <c r="F24" t="n">
        <v>5</v>
      </c>
      <c r="G24" t="n">
        <v>4.4</v>
      </c>
      <c r="H24" t="n">
        <v>5830.405</v>
      </c>
      <c r="I24" t="n">
        <v>5484.002</v>
      </c>
      <c r="J24" t="n">
        <v>6.3</v>
      </c>
      <c r="K24" t="inlineStr">
        <is>
          <t>2026-01-01</t>
        </is>
      </c>
      <c r="L24" t="inlineStr">
        <is>
          <t>2016-01-01</t>
        </is>
      </c>
      <c r="M24" t="inlineStr">
        <is>
          <t>2026-06-01</t>
        </is>
      </c>
      <c r="N24" t="inlineStr">
        <is>
          <t>2025-01-01</t>
        </is>
      </c>
    </row>
    <row r="25">
      <c r="A25" t="inlineStr">
        <is>
          <t>MS</t>
        </is>
      </c>
      <c r="B25" t="n">
        <v>424.2</v>
      </c>
      <c r="C25" t="n">
        <v>251.64</v>
      </c>
      <c r="D25" t="n">
        <v>68.59999999999999</v>
      </c>
      <c r="E25" t="n">
        <v>42.5</v>
      </c>
      <c r="F25" t="n">
        <v>4</v>
      </c>
      <c r="G25" t="n">
        <v>3.8</v>
      </c>
      <c r="H25" t="n">
        <v>2954.16</v>
      </c>
      <c r="I25" t="n">
        <v>2990.231</v>
      </c>
      <c r="J25" t="n">
        <v>-1.2</v>
      </c>
      <c r="K25" t="inlineStr">
        <is>
          <t>2026-01-01</t>
        </is>
      </c>
      <c r="L25" t="inlineStr">
        <is>
          <t>2016-01-01</t>
        </is>
      </c>
      <c r="M25" t="inlineStr">
        <is>
          <t>2026-06-01</t>
        </is>
      </c>
      <c r="N25" t="inlineStr">
        <is>
          <t>2025-01-01</t>
        </is>
      </c>
    </row>
    <row r="26">
      <c r="A26" t="inlineStr">
        <is>
          <t>MO</t>
        </is>
      </c>
      <c r="B26" t="n">
        <v>567.45</v>
      </c>
      <c r="C26" t="n">
        <v>290.05</v>
      </c>
      <c r="D26" t="n">
        <v>95.59999999999999</v>
      </c>
      <c r="E26" t="n">
        <v>51.5</v>
      </c>
      <c r="F26" t="n">
        <v>1</v>
      </c>
      <c r="G26" t="n">
        <v>3.7</v>
      </c>
      <c r="H26" t="n">
        <v>6270.541</v>
      </c>
      <c r="I26" t="n">
        <v>6075.411</v>
      </c>
      <c r="J26" t="n">
        <v>3.2</v>
      </c>
      <c r="K26" t="inlineStr">
        <is>
          <t>2026-01-01</t>
        </is>
      </c>
      <c r="L26" t="inlineStr">
        <is>
          <t>2016-01-01</t>
        </is>
      </c>
      <c r="M26" t="inlineStr">
        <is>
          <t>2026-06-01</t>
        </is>
      </c>
      <c r="N26" t="inlineStr">
        <is>
          <t>2025-01-01</t>
        </is>
      </c>
    </row>
    <row r="27">
      <c r="A27" t="inlineStr">
        <is>
          <t>MT</t>
        </is>
      </c>
      <c r="B27" t="n">
        <v>817.53</v>
      </c>
      <c r="C27" t="n">
        <v>383.52</v>
      </c>
      <c r="D27" t="n">
        <v>113.2</v>
      </c>
      <c r="E27" t="n">
        <v>58.6</v>
      </c>
      <c r="F27" t="n">
        <v>3</v>
      </c>
      <c r="G27" t="n">
        <v>3.3</v>
      </c>
      <c r="H27" t="n">
        <v>1144.694</v>
      </c>
      <c r="I27" t="n">
        <v>1031.495</v>
      </c>
      <c r="J27" t="n">
        <v>11</v>
      </c>
      <c r="K27" t="inlineStr">
        <is>
          <t>2026-01-01</t>
        </is>
      </c>
      <c r="L27" t="inlineStr">
        <is>
          <t>2016-01-01</t>
        </is>
      </c>
      <c r="M27" t="inlineStr">
        <is>
          <t>2026-06-01</t>
        </is>
      </c>
      <c r="N27" t="inlineStr">
        <is>
          <t>2025-01-01</t>
        </is>
      </c>
    </row>
    <row r="28">
      <c r="A28" t="inlineStr">
        <is>
          <t>NE</t>
        </is>
      </c>
      <c r="B28" t="n">
        <v>545.4400000000001</v>
      </c>
      <c r="C28" t="n">
        <v>282.27</v>
      </c>
      <c r="D28" t="n">
        <v>93.2</v>
      </c>
      <c r="E28" t="n">
        <v>47.8</v>
      </c>
      <c r="F28" t="n">
        <v>2</v>
      </c>
      <c r="G28" t="n">
        <v>2.9</v>
      </c>
      <c r="H28" t="n">
        <v>2018.006</v>
      </c>
      <c r="I28" t="n">
        <v>1892.059</v>
      </c>
      <c r="J28" t="n">
        <v>6.7</v>
      </c>
      <c r="K28" t="inlineStr">
        <is>
          <t>2026-01-01</t>
        </is>
      </c>
      <c r="L28" t="inlineStr">
        <is>
          <t>2016-01-01</t>
        </is>
      </c>
      <c r="M28" t="inlineStr">
        <is>
          <t>2026-06-01</t>
        </is>
      </c>
      <c r="N28" t="inlineStr">
        <is>
          <t>2025-01-01</t>
        </is>
      </c>
    </row>
    <row r="29">
      <c r="A29" t="inlineStr">
        <is>
          <t>NV</t>
        </is>
      </c>
      <c r="B29" t="n">
        <v>640.48</v>
      </c>
      <c r="C29" t="n">
        <v>295.73</v>
      </c>
      <c r="D29" t="n">
        <v>116.6</v>
      </c>
      <c r="E29" t="n">
        <v>42.4</v>
      </c>
      <c r="F29" t="n">
        <v>5</v>
      </c>
      <c r="G29" t="n">
        <v>5.1</v>
      </c>
      <c r="H29" t="n">
        <v>3282.188</v>
      </c>
      <c r="I29" t="n">
        <v>2868.531</v>
      </c>
      <c r="J29" t="n">
        <v>14.4</v>
      </c>
      <c r="K29" t="inlineStr">
        <is>
          <t>2026-01-01</t>
        </is>
      </c>
      <c r="L29" t="inlineStr">
        <is>
          <t>2016-01-01</t>
        </is>
      </c>
      <c r="M29" t="inlineStr">
        <is>
          <t>2026-06-01</t>
        </is>
      </c>
      <c r="N29" t="inlineStr">
        <is>
          <t>2025-01-01</t>
        </is>
      </c>
    </row>
    <row r="30">
      <c r="A30" t="inlineStr">
        <is>
          <t>NH</t>
        </is>
      </c>
      <c r="B30" t="n">
        <v>906.4299999999999</v>
      </c>
      <c r="C30" t="n">
        <v>412.19</v>
      </c>
      <c r="D30" t="n">
        <v>119.9</v>
      </c>
      <c r="E30" t="n">
        <v>61.6</v>
      </c>
      <c r="F30" t="n">
        <v>1</v>
      </c>
      <c r="G30" t="n">
        <v>2.9</v>
      </c>
      <c r="H30" t="n">
        <v>1415.342</v>
      </c>
      <c r="I30" t="n">
        <v>1337.48</v>
      </c>
      <c r="J30" t="n">
        <v>5.8</v>
      </c>
      <c r="K30" t="inlineStr">
        <is>
          <t>2026-01-01</t>
        </is>
      </c>
      <c r="L30" t="inlineStr">
        <is>
          <t>2016-01-01</t>
        </is>
      </c>
      <c r="M30" t="inlineStr">
        <is>
          <t>2026-06-01</t>
        </is>
      </c>
      <c r="N30" t="inlineStr">
        <is>
          <t>2025-01-01</t>
        </is>
      </c>
    </row>
    <row r="31">
      <c r="A31" t="inlineStr">
        <is>
          <t>NJ</t>
        </is>
      </c>
      <c r="B31" t="n">
        <v>947.27</v>
      </c>
      <c r="C31" t="n">
        <v>480</v>
      </c>
      <c r="D31" t="n">
        <v>97.3</v>
      </c>
      <c r="E31" t="n">
        <v>62.3</v>
      </c>
      <c r="F31" t="n">
        <v>2</v>
      </c>
      <c r="G31" t="n">
        <v>4.5</v>
      </c>
      <c r="H31" t="n">
        <v>9548.215</v>
      </c>
      <c r="I31" t="n">
        <v>8870.312</v>
      </c>
      <c r="J31" t="n">
        <v>7.6</v>
      </c>
      <c r="K31" t="inlineStr">
        <is>
          <t>2026-01-01</t>
        </is>
      </c>
      <c r="L31" t="inlineStr">
        <is>
          <t>2016-01-01</t>
        </is>
      </c>
      <c r="M31" t="inlineStr">
        <is>
          <t>2026-06-01</t>
        </is>
      </c>
      <c r="N31" t="inlineStr">
        <is>
          <t>2025-01-01</t>
        </is>
      </c>
    </row>
    <row r="32">
      <c r="A32" t="inlineStr">
        <is>
          <t>NM</t>
        </is>
      </c>
      <c r="B32" t="n">
        <v>556.35</v>
      </c>
      <c r="C32" t="n">
        <v>295.38</v>
      </c>
      <c r="D32" t="n">
        <v>88.40000000000001</v>
      </c>
      <c r="E32" t="n">
        <v>46.8</v>
      </c>
      <c r="F32" t="n">
        <v>3</v>
      </c>
      <c r="G32" t="n">
        <v>4.8</v>
      </c>
      <c r="H32" t="n">
        <v>2125.498</v>
      </c>
      <c r="I32" t="n">
        <v>2090.071</v>
      </c>
      <c r="J32" t="n">
        <v>1.7</v>
      </c>
      <c r="K32" t="inlineStr">
        <is>
          <t>2026-01-01</t>
        </is>
      </c>
      <c r="L32" t="inlineStr">
        <is>
          <t>2016-01-01</t>
        </is>
      </c>
      <c r="M32" t="inlineStr">
        <is>
          <t>2026-06-01</t>
        </is>
      </c>
      <c r="N32" t="inlineStr">
        <is>
          <t>2025-01-01</t>
        </is>
      </c>
    </row>
    <row r="33">
      <c r="A33" t="inlineStr">
        <is>
          <t>NY</t>
        </is>
      </c>
      <c r="B33" t="n">
        <v>1157.14</v>
      </c>
      <c r="C33" t="n">
        <v>593.3</v>
      </c>
      <c r="D33" t="n">
        <v>95</v>
      </c>
      <c r="E33" t="n">
        <v>51.6</v>
      </c>
      <c r="F33" t="n">
        <v>1</v>
      </c>
      <c r="G33" t="n">
        <v>4.6</v>
      </c>
      <c r="H33" t="n">
        <v>20002.427</v>
      </c>
      <c r="I33" t="n">
        <v>19657.321</v>
      </c>
      <c r="J33" t="n">
        <v>1.8</v>
      </c>
      <c r="K33" t="inlineStr">
        <is>
          <t>2026-01-01</t>
        </is>
      </c>
      <c r="L33" t="inlineStr">
        <is>
          <t>2016-01-01</t>
        </is>
      </c>
      <c r="M33" t="inlineStr">
        <is>
          <t>2026-06-01</t>
        </is>
      </c>
      <c r="N33" t="inlineStr">
        <is>
          <t>2025-01-01</t>
        </is>
      </c>
    </row>
    <row r="34">
      <c r="A34" t="inlineStr">
        <is>
          <t>NC</t>
        </is>
      </c>
      <c r="B34" t="n">
        <v>702.88</v>
      </c>
      <c r="C34" t="n">
        <v>327.01</v>
      </c>
      <c r="D34" t="n">
        <v>114.9</v>
      </c>
      <c r="E34" t="n">
        <v>59.3</v>
      </c>
      <c r="F34" t="n">
        <v>1</v>
      </c>
      <c r="G34" t="n">
        <v>3.6</v>
      </c>
      <c r="H34" t="n">
        <v>11197.968</v>
      </c>
      <c r="I34" t="n">
        <v>10037.218</v>
      </c>
      <c r="J34" t="n">
        <v>11.6</v>
      </c>
      <c r="K34" t="inlineStr">
        <is>
          <t>2026-01-01</t>
        </is>
      </c>
      <c r="L34" t="inlineStr">
        <is>
          <t>2016-01-01</t>
        </is>
      </c>
      <c r="M34" t="inlineStr">
        <is>
          <t>2026-06-01</t>
        </is>
      </c>
      <c r="N34" t="inlineStr">
        <is>
          <t>2025-01-01</t>
        </is>
      </c>
    </row>
    <row r="35">
      <c r="A35" t="inlineStr">
        <is>
          <t>ND</t>
        </is>
      </c>
      <c r="B35" t="n">
        <v>523.26</v>
      </c>
      <c r="C35" t="n">
        <v>350.73</v>
      </c>
      <c r="D35" t="n">
        <v>49.2</v>
      </c>
      <c r="E35" t="n">
        <v>35</v>
      </c>
      <c r="F35" t="n">
        <v>9</v>
      </c>
      <c r="G35" t="n">
        <v>2.3</v>
      </c>
      <c r="H35" t="n">
        <v>799.3579999999999</v>
      </c>
      <c r="I35" t="n">
        <v>755.537</v>
      </c>
      <c r="J35" t="n">
        <v>5.8</v>
      </c>
      <c r="K35" t="inlineStr">
        <is>
          <t>2026-01-01</t>
        </is>
      </c>
      <c r="L35" t="inlineStr">
        <is>
          <t>2016-01-01</t>
        </is>
      </c>
      <c r="M35" t="inlineStr">
        <is>
          <t>2026-06-01</t>
        </is>
      </c>
      <c r="N35" t="inlineStr">
        <is>
          <t>2025-01-01</t>
        </is>
      </c>
    </row>
    <row r="36">
      <c r="A36" t="inlineStr">
        <is>
          <t>OH</t>
        </is>
      </c>
      <c r="B36" t="n">
        <v>513.9299999999999</v>
      </c>
      <c r="C36" t="n">
        <v>253.31</v>
      </c>
      <c r="D36" t="n">
        <v>102.9</v>
      </c>
      <c r="E36" t="n">
        <v>53.1</v>
      </c>
      <c r="F36" t="n">
        <v>2</v>
      </c>
      <c r="G36" t="n">
        <v>3.6</v>
      </c>
      <c r="H36" t="n">
        <v>11900.51</v>
      </c>
      <c r="I36" t="n">
        <v>11622.315</v>
      </c>
      <c r="J36" t="n">
        <v>2.4</v>
      </c>
      <c r="K36" t="inlineStr">
        <is>
          <t>2026-01-01</t>
        </is>
      </c>
      <c r="L36" t="inlineStr">
        <is>
          <t>2016-01-01</t>
        </is>
      </c>
      <c r="M36" t="inlineStr">
        <is>
          <t>2026-06-01</t>
        </is>
      </c>
      <c r="N36" t="inlineStr">
        <is>
          <t>2025-01-01</t>
        </is>
      </c>
    </row>
    <row r="37">
      <c r="A37" t="inlineStr">
        <is>
          <t>OK</t>
        </is>
      </c>
      <c r="B37" t="n">
        <v>395.71</v>
      </c>
      <c r="C37" t="n">
        <v>224.21</v>
      </c>
      <c r="D37" t="n">
        <v>76.5</v>
      </c>
      <c r="E37" t="n">
        <v>44.6</v>
      </c>
      <c r="F37" t="n">
        <v>3</v>
      </c>
      <c r="G37" t="n">
        <v>4.2</v>
      </c>
      <c r="H37" t="n">
        <v>4123.288</v>
      </c>
      <c r="I37" t="n">
        <v>3910.518</v>
      </c>
      <c r="J37" t="n">
        <v>5.4</v>
      </c>
      <c r="K37" t="inlineStr">
        <is>
          <t>2026-01-01</t>
        </is>
      </c>
      <c r="L37" t="inlineStr">
        <is>
          <t>2016-01-01</t>
        </is>
      </c>
      <c r="M37" t="inlineStr">
        <is>
          <t>2026-06-01</t>
        </is>
      </c>
      <c r="N37" t="inlineStr">
        <is>
          <t>2025-01-01</t>
        </is>
      </c>
    </row>
    <row r="38">
      <c r="A38" t="inlineStr">
        <is>
          <t>OR</t>
        </is>
      </c>
      <c r="B38" t="n">
        <v>848.51</v>
      </c>
      <c r="C38" t="n">
        <v>458.53</v>
      </c>
      <c r="D38" t="n">
        <v>85.09999999999999</v>
      </c>
      <c r="E38" t="n">
        <v>31</v>
      </c>
      <c r="F38" t="n">
        <v>5</v>
      </c>
      <c r="G38" t="n">
        <v>5.2</v>
      </c>
      <c r="H38" t="n">
        <v>4273.586</v>
      </c>
      <c r="I38" t="n">
        <v>4018.542</v>
      </c>
      <c r="J38" t="n">
        <v>6.3</v>
      </c>
      <c r="K38" t="inlineStr">
        <is>
          <t>2026-01-01</t>
        </is>
      </c>
      <c r="L38" t="inlineStr">
        <is>
          <t>2016-01-01</t>
        </is>
      </c>
      <c r="M38" t="inlineStr">
        <is>
          <t>2026-06-01</t>
        </is>
      </c>
      <c r="N38" t="inlineStr">
        <is>
          <t>2025-01-01</t>
        </is>
      </c>
    </row>
    <row r="39">
      <c r="A39" t="inlineStr">
        <is>
          <t>PA</t>
        </is>
      </c>
      <c r="B39" t="n">
        <v>722.5599999999999</v>
      </c>
      <c r="C39" t="n">
        <v>386.54</v>
      </c>
      <c r="D39" t="n">
        <v>86.90000000000001</v>
      </c>
      <c r="E39" t="n">
        <v>48.4</v>
      </c>
      <c r="F39" t="n">
        <v>2</v>
      </c>
      <c r="G39" t="n">
        <v>4.1</v>
      </c>
      <c r="H39" t="n">
        <v>13059.432</v>
      </c>
      <c r="I39" t="n">
        <v>12789.838</v>
      </c>
      <c r="J39" t="n">
        <v>2.1</v>
      </c>
      <c r="K39" t="inlineStr">
        <is>
          <t>2026-01-01</t>
        </is>
      </c>
      <c r="L39" t="inlineStr">
        <is>
          <t>2016-01-01</t>
        </is>
      </c>
      <c r="M39" t="inlineStr">
        <is>
          <t>2026-06-01</t>
        </is>
      </c>
      <c r="N39" t="inlineStr">
        <is>
          <t>2025-01-01</t>
        </is>
      </c>
    </row>
    <row r="40">
      <c r="A40" t="inlineStr">
        <is>
          <t>RI</t>
        </is>
      </c>
      <c r="B40" t="n">
        <v>1039.61</v>
      </c>
      <c r="C40" t="n">
        <v>474.14</v>
      </c>
      <c r="D40" t="n">
        <v>119.3</v>
      </c>
      <c r="E40" t="n">
        <v>61.3</v>
      </c>
      <c r="F40" t="n">
        <v>1</v>
      </c>
      <c r="G40" t="n">
        <v>4.1</v>
      </c>
      <c r="H40" t="n">
        <v>1114.521</v>
      </c>
      <c r="I40" t="n">
        <v>1056.886</v>
      </c>
      <c r="J40" t="n">
        <v>5.5</v>
      </c>
      <c r="K40" t="inlineStr">
        <is>
          <t>2026-01-01</t>
        </is>
      </c>
      <c r="L40" t="inlineStr">
        <is>
          <t>2016-01-01</t>
        </is>
      </c>
      <c r="M40" t="inlineStr">
        <is>
          <t>2026-06-01</t>
        </is>
      </c>
      <c r="N40" t="inlineStr">
        <is>
          <t>2025-01-01</t>
        </is>
      </c>
    </row>
    <row r="41">
      <c r="A41" t="inlineStr">
        <is>
          <t>SC</t>
        </is>
      </c>
      <c r="B41" t="n">
        <v>717.02</v>
      </c>
      <c r="C41" t="n">
        <v>333.21</v>
      </c>
      <c r="D41" t="n">
        <v>115.2</v>
      </c>
      <c r="E41" t="n">
        <v>61.8</v>
      </c>
      <c r="F41" t="n">
        <v>0</v>
      </c>
      <c r="G41" t="n">
        <v>4.4</v>
      </c>
      <c r="H41" t="n">
        <v>5570.274</v>
      </c>
      <c r="I41" t="n">
        <v>4896.006</v>
      </c>
      <c r="J41" t="n">
        <v>13.8</v>
      </c>
      <c r="K41" t="inlineStr">
        <is>
          <t>2026-01-01</t>
        </is>
      </c>
      <c r="L41" t="inlineStr">
        <is>
          <t>2016-01-01</t>
        </is>
      </c>
      <c r="M41" t="inlineStr">
        <is>
          <t>2026-06-01</t>
        </is>
      </c>
      <c r="N41" t="inlineStr">
        <is>
          <t>2025-01-01</t>
        </is>
      </c>
    </row>
    <row r="42">
      <c r="A42" t="inlineStr">
        <is>
          <t>SD</t>
        </is>
      </c>
      <c r="B42" t="n">
        <v>642.33</v>
      </c>
      <c r="C42" t="n">
        <v>334.94</v>
      </c>
      <c r="D42" t="n">
        <v>91.8</v>
      </c>
      <c r="E42" t="n">
        <v>50.5</v>
      </c>
      <c r="F42" t="n">
        <v>1</v>
      </c>
      <c r="G42" t="n">
        <v>2</v>
      </c>
      <c r="H42" t="n">
        <v>935.0940000000001</v>
      </c>
      <c r="I42" t="n">
        <v>854.663</v>
      </c>
      <c r="J42" t="n">
        <v>9.4</v>
      </c>
      <c r="K42" t="inlineStr">
        <is>
          <t>2026-01-01</t>
        </is>
      </c>
      <c r="L42" t="inlineStr">
        <is>
          <t>2016-01-01</t>
        </is>
      </c>
      <c r="M42" t="inlineStr">
        <is>
          <t>2026-06-01</t>
        </is>
      </c>
      <c r="N42" t="inlineStr">
        <is>
          <t>2025-01-01</t>
        </is>
      </c>
    </row>
    <row r="43">
      <c r="A43" t="inlineStr">
        <is>
          <t>TN</t>
        </is>
      </c>
      <c r="B43" t="n">
        <v>704.14</v>
      </c>
      <c r="C43" t="n">
        <v>316.43</v>
      </c>
      <c r="D43" t="n">
        <v>122.5</v>
      </c>
      <c r="E43" t="n">
        <v>58.8</v>
      </c>
      <c r="F43" t="n">
        <v>1</v>
      </c>
      <c r="G43" t="n">
        <v>3.5</v>
      </c>
      <c r="H43" t="n">
        <v>7315.076</v>
      </c>
      <c r="I43" t="n">
        <v>6595.354</v>
      </c>
      <c r="J43" t="n">
        <v>10.9</v>
      </c>
      <c r="K43" t="inlineStr">
        <is>
          <t>2026-01-01</t>
        </is>
      </c>
      <c r="L43" t="inlineStr">
        <is>
          <t>2016-01-01</t>
        </is>
      </c>
      <c r="M43" t="inlineStr">
        <is>
          <t>2026-06-01</t>
        </is>
      </c>
      <c r="N43" t="inlineStr">
        <is>
          <t>2025-01-01</t>
        </is>
      </c>
    </row>
    <row r="44">
      <c r="A44" t="inlineStr">
        <is>
          <t>TX</t>
        </is>
      </c>
      <c r="B44" t="n">
        <v>529.3099999999999</v>
      </c>
      <c r="C44" t="n">
        <v>276.9</v>
      </c>
      <c r="D44" t="n">
        <v>91.2</v>
      </c>
      <c r="E44" t="n">
        <v>41.6</v>
      </c>
      <c r="F44" t="n">
        <v>2</v>
      </c>
      <c r="G44" t="n">
        <v>4.4</v>
      </c>
      <c r="H44" t="n">
        <v>31709.821</v>
      </c>
      <c r="I44" t="n">
        <v>27468.531</v>
      </c>
      <c r="J44" t="n">
        <v>15.4</v>
      </c>
      <c r="K44" t="inlineStr">
        <is>
          <t>2026-01-01</t>
        </is>
      </c>
      <c r="L44" t="inlineStr">
        <is>
          <t>2016-01-01</t>
        </is>
      </c>
      <c r="M44" t="inlineStr">
        <is>
          <t>2026-06-01</t>
        </is>
      </c>
      <c r="N44" t="inlineStr">
        <is>
          <t>2025-01-01</t>
        </is>
      </c>
    </row>
    <row r="45">
      <c r="A45" t="inlineStr">
        <is>
          <t>UT</t>
        </is>
      </c>
      <c r="B45" t="n">
        <v>858.12</v>
      </c>
      <c r="C45" t="n">
        <v>382.65</v>
      </c>
      <c r="D45" t="n">
        <v>124.3</v>
      </c>
      <c r="E45" t="n">
        <v>46.2</v>
      </c>
      <c r="F45" t="n">
        <v>4</v>
      </c>
      <c r="G45" t="n">
        <v>3.6</v>
      </c>
      <c r="H45" t="n">
        <v>3538.904</v>
      </c>
      <c r="I45" t="n">
        <v>2983.626</v>
      </c>
      <c r="J45" t="n">
        <v>18.6</v>
      </c>
      <c r="K45" t="inlineStr">
        <is>
          <t>2026-01-01</t>
        </is>
      </c>
      <c r="L45" t="inlineStr">
        <is>
          <t>2016-01-01</t>
        </is>
      </c>
      <c r="M45" t="inlineStr">
        <is>
          <t>2026-06-01</t>
        </is>
      </c>
      <c r="N45" t="inlineStr">
        <is>
          <t>2025-01-01</t>
        </is>
      </c>
    </row>
    <row r="46">
      <c r="A46" t="inlineStr">
        <is>
          <t>VT</t>
        </is>
      </c>
      <c r="B46" t="n">
        <v>885.87</v>
      </c>
      <c r="C46" t="n">
        <v>444.09</v>
      </c>
      <c r="D46" t="n">
        <v>99.5</v>
      </c>
      <c r="E46" t="n">
        <v>61.7</v>
      </c>
      <c r="F46" t="n">
        <v>4</v>
      </c>
      <c r="G46" t="n">
        <v>2.6</v>
      </c>
      <c r="H46" t="n">
        <v>644.663</v>
      </c>
      <c r="I46" t="n">
        <v>625.8099999999999</v>
      </c>
      <c r="J46" t="n">
        <v>3</v>
      </c>
      <c r="K46" t="inlineStr">
        <is>
          <t>2026-01-01</t>
        </is>
      </c>
      <c r="L46" t="inlineStr">
        <is>
          <t>2016-01-01</t>
        </is>
      </c>
      <c r="M46" t="inlineStr">
        <is>
          <t>2026-06-01</t>
        </is>
      </c>
      <c r="N46" t="inlineStr">
        <is>
          <t>2025-01-01</t>
        </is>
      </c>
    </row>
    <row r="47">
      <c r="A47" t="inlineStr">
        <is>
          <t>VA</t>
        </is>
      </c>
      <c r="B47" t="n">
        <v>768.03</v>
      </c>
      <c r="C47" t="n">
        <v>418.93</v>
      </c>
      <c r="D47" t="n">
        <v>83.3</v>
      </c>
      <c r="E47" t="n">
        <v>48.2</v>
      </c>
      <c r="F47" t="n">
        <v>2</v>
      </c>
      <c r="G47" t="n">
        <v>3.7</v>
      </c>
      <c r="H47" t="n">
        <v>8880.107</v>
      </c>
      <c r="I47" t="n">
        <v>8367.303</v>
      </c>
      <c r="J47" t="n">
        <v>6.1</v>
      </c>
      <c r="K47" t="inlineStr">
        <is>
          <t>2026-01-01</t>
        </is>
      </c>
      <c r="L47" t="inlineStr">
        <is>
          <t>2016-01-01</t>
        </is>
      </c>
      <c r="M47" t="inlineStr">
        <is>
          <t>2026-06-01</t>
        </is>
      </c>
      <c r="N47" t="inlineStr">
        <is>
          <t>2025-01-01</t>
        </is>
      </c>
    </row>
    <row r="48">
      <c r="A48" t="inlineStr">
        <is>
          <t>WA</t>
        </is>
      </c>
      <c r="B48" t="n">
        <v>1031.17</v>
      </c>
      <c r="C48" t="n">
        <v>486.95</v>
      </c>
      <c r="D48" t="n">
        <v>111.8</v>
      </c>
      <c r="E48" t="n">
        <v>39.2</v>
      </c>
      <c r="F48" t="n">
        <v>5</v>
      </c>
      <c r="G48" t="n">
        <v>5.2</v>
      </c>
      <c r="H48" t="n">
        <v>8001.02</v>
      </c>
      <c r="I48" t="n">
        <v>7167.287</v>
      </c>
      <c r="J48" t="n">
        <v>11.6</v>
      </c>
      <c r="K48" t="inlineStr">
        <is>
          <t>2026-01-01</t>
        </is>
      </c>
      <c r="L48" t="inlineStr">
        <is>
          <t>2016-01-01</t>
        </is>
      </c>
      <c r="M48" t="inlineStr">
        <is>
          <t>2026-06-01</t>
        </is>
      </c>
      <c r="N48" t="inlineStr">
        <is>
          <t>2025-01-01</t>
        </is>
      </c>
    </row>
    <row r="49">
      <c r="A49" t="inlineStr">
        <is>
          <t>WV</t>
        </is>
      </c>
      <c r="B49" t="n">
        <v>361.29</v>
      </c>
      <c r="C49" t="n">
        <v>219.41</v>
      </c>
      <c r="D49" t="n">
        <v>64.7</v>
      </c>
      <c r="E49" t="n">
        <v>42.9</v>
      </c>
      <c r="F49" t="n">
        <v>7</v>
      </c>
      <c r="G49" t="n">
        <v>4.2</v>
      </c>
      <c r="H49" t="n">
        <v>1766.147</v>
      </c>
      <c r="I49" t="n">
        <v>1843.332</v>
      </c>
      <c r="J49" t="n">
        <v>-4.2</v>
      </c>
      <c r="K49" t="inlineStr">
        <is>
          <t>2026-01-01</t>
        </is>
      </c>
      <c r="L49" t="inlineStr">
        <is>
          <t>2016-01-01</t>
        </is>
      </c>
      <c r="M49" t="inlineStr">
        <is>
          <t>2026-06-01</t>
        </is>
      </c>
      <c r="N49" t="inlineStr">
        <is>
          <t>2025-01-01</t>
        </is>
      </c>
    </row>
    <row r="50">
      <c r="A50" t="inlineStr">
        <is>
          <t>WI</t>
        </is>
      </c>
      <c r="B50" t="n">
        <v>627.66</v>
      </c>
      <c r="C50" t="n">
        <v>309.96</v>
      </c>
      <c r="D50" t="n">
        <v>102.5</v>
      </c>
      <c r="E50" t="n">
        <v>57.5</v>
      </c>
      <c r="F50" t="n">
        <v>1</v>
      </c>
      <c r="G50" t="n">
        <v>3.3</v>
      </c>
      <c r="H50" t="n">
        <v>5972.787</v>
      </c>
      <c r="I50" t="n">
        <v>5762.927</v>
      </c>
      <c r="J50" t="n">
        <v>3.6</v>
      </c>
      <c r="K50" t="inlineStr">
        <is>
          <t>2026-01-01</t>
        </is>
      </c>
      <c r="L50" t="inlineStr">
        <is>
          <t>2016-01-01</t>
        </is>
      </c>
      <c r="M50" t="inlineStr">
        <is>
          <t>2026-06-01</t>
        </is>
      </c>
      <c r="N50" t="inlineStr">
        <is>
          <t>2025-01-01</t>
        </is>
      </c>
    </row>
    <row r="51">
      <c r="A51" t="inlineStr">
        <is>
          <t>WY</t>
        </is>
      </c>
      <c r="B51" t="n">
        <v>519.4299999999999</v>
      </c>
      <c r="C51" t="n">
        <v>296.61</v>
      </c>
      <c r="D51" t="n">
        <v>75.09999999999999</v>
      </c>
      <c r="E51" t="n">
        <v>45.1</v>
      </c>
      <c r="F51" t="n">
        <v>7</v>
      </c>
      <c r="G51" t="n">
        <v>3.2</v>
      </c>
      <c r="H51" t="n">
        <v>588.753</v>
      </c>
      <c r="I51" t="n">
        <v>586.389</v>
      </c>
      <c r="J51" t="n">
        <v>0.4</v>
      </c>
      <c r="K51" t="inlineStr">
        <is>
          <t>2026-01-01</t>
        </is>
      </c>
      <c r="L51" t="inlineStr">
        <is>
          <t>2016-01-01</t>
        </is>
      </c>
      <c r="M51" t="inlineStr">
        <is>
          <t>2026-06-01</t>
        </is>
      </c>
      <c r="N51" t="inlineStr">
        <is>
          <t>2025-01-01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2" customWidth="1" min="4" max="4"/>
    <col width="20" customWidth="1" min="5" max="5"/>
    <col width="30" customWidth="1" min="6" max="6"/>
  </cols>
  <sheetData>
    <row r="1">
      <c r="A1" s="2" t="inlineStr">
        <is>
          <t>Frequency distribution of state population growth</t>
        </is>
      </c>
    </row>
    <row r="2">
      <c r="A2" s="3" t="inlineStr">
        <is>
          <t>Produced from a one-line request. Every number below is correct arithmetic on the wrong specification.</t>
        </is>
      </c>
    </row>
    <row r="4">
      <c r="A4" s="4" t="inlineStr">
        <is>
          <t>Class</t>
        </is>
      </c>
      <c r="B4" s="4" t="inlineStr">
        <is>
          <t>Lower</t>
        </is>
      </c>
      <c r="C4" s="4" t="inlineStr">
        <is>
          <t>Upper</t>
        </is>
      </c>
      <c r="D4" s="4" t="inlineStr">
        <is>
          <t>Frequency</t>
        </is>
      </c>
      <c r="E4" s="4" t="inlineStr">
        <is>
          <t>Relative frequency</t>
        </is>
      </c>
      <c r="F4" s="4" t="inlineStr">
        <is>
          <t>Cumulative relative frequency</t>
        </is>
      </c>
    </row>
    <row r="5">
      <c r="A5" s="5" t="inlineStr">
        <is>
          <t>-4.20 to 0.30</t>
        </is>
      </c>
      <c r="B5" s="5" t="n">
        <v>-4.2</v>
      </c>
      <c r="C5" s="5" t="n">
        <v>0.3</v>
      </c>
      <c r="D5" s="5" t="n">
        <v>5</v>
      </c>
      <c r="E5" s="6" t="n">
        <v>0.1</v>
      </c>
      <c r="F5" s="6" t="n">
        <v>0.1</v>
      </c>
    </row>
    <row r="6">
      <c r="A6" s="5" t="inlineStr">
        <is>
          <t>0.30 to 4.80</t>
        </is>
      </c>
      <c r="B6" s="5" t="n">
        <v>0.3</v>
      </c>
      <c r="C6" s="5" t="n">
        <v>4.8</v>
      </c>
      <c r="D6" s="5" t="n">
        <v>17</v>
      </c>
      <c r="E6" s="6" t="n">
        <v>0.34</v>
      </c>
      <c r="F6" s="6" t="n">
        <v>0.44</v>
      </c>
    </row>
    <row r="7">
      <c r="A7" s="5" t="inlineStr">
        <is>
          <t>4.80 to 9.30</t>
        </is>
      </c>
      <c r="B7" s="5" t="n">
        <v>4.8</v>
      </c>
      <c r="C7" s="5" t="n">
        <v>9.300000000000001</v>
      </c>
      <c r="D7" s="5" t="n">
        <v>13</v>
      </c>
      <c r="E7" s="6" t="n">
        <v>0.26</v>
      </c>
      <c r="F7" s="6" t="n">
        <v>0.7</v>
      </c>
    </row>
    <row r="8">
      <c r="A8" s="5" t="inlineStr">
        <is>
          <t>9.30 to 13.80</t>
        </is>
      </c>
      <c r="B8" s="5" t="n">
        <v>9.300000000000001</v>
      </c>
      <c r="C8" s="5" t="n">
        <v>13.8</v>
      </c>
      <c r="D8" s="5" t="n">
        <v>10</v>
      </c>
      <c r="E8" s="6" t="n">
        <v>0.2</v>
      </c>
      <c r="F8" s="6" t="n">
        <v>0.9</v>
      </c>
    </row>
    <row r="9">
      <c r="A9" s="5" t="inlineStr">
        <is>
          <t>13.80 to 18.30</t>
        </is>
      </c>
      <c r="B9" s="5" t="n">
        <v>13.8</v>
      </c>
      <c r="C9" s="5" t="n">
        <v>18.3</v>
      </c>
      <c r="D9" s="5" t="n">
        <v>4</v>
      </c>
      <c r="E9" s="6" t="n">
        <v>0.08</v>
      </c>
      <c r="F9" s="6" t="n">
        <v>0.98</v>
      </c>
    </row>
    <row r="10">
      <c r="A10" s="5" t="inlineStr">
        <is>
          <t>18.30 to 22.80</t>
        </is>
      </c>
      <c r="B10" s="5" t="n">
        <v>18.3</v>
      </c>
      <c r="C10" s="5" t="n">
        <v>22.8</v>
      </c>
      <c r="D10" s="5" t="n">
        <v>2</v>
      </c>
      <c r="E10" s="6" t="n">
        <v>0.04</v>
      </c>
      <c r="F10" s="6" t="n">
        <v>1.02</v>
      </c>
    </row>
    <row r="11">
      <c r="A11" s="7" t="inlineStr">
        <is>
          <t>Total</t>
        </is>
      </c>
      <c r="B11" s="5" t="n"/>
      <c r="C11" s="5" t="n"/>
      <c r="D11" s="7" t="n">
        <v>51</v>
      </c>
      <c r="E11" s="8" t="n">
        <v>1.02</v>
      </c>
      <c r="F11" s="5" t="n"/>
    </row>
    <row r="13">
      <c r="A13" s="9" t="inlineStr">
        <is>
          <t>There are 50 states. Add up the Frequency column.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44" customWidth="1" min="3" max="3"/>
    <col width="46" customWidth="1" min="4" max="4"/>
  </cols>
  <sheetData>
    <row r="1">
      <c r="A1" s="2" t="inlineStr">
        <is>
          <t>Verification checklist</t>
        </is>
      </c>
    </row>
    <row r="2">
      <c r="A2" s="3" t="inlineStr">
        <is>
          <t>Six checks, each under a minute. Every one is a rule from Chapter 2, written as a live formula. Do not accept a workbook until all six read PASS.</t>
        </is>
      </c>
    </row>
    <row r="4">
      <c r="A4" s="4" t="inlineStr">
        <is>
          <t>#</t>
        </is>
      </c>
      <c r="B4" s="4" t="inlineStr">
        <is>
          <t>Check</t>
        </is>
      </c>
      <c r="C4" s="4" t="inlineStr">
        <is>
          <t>What rule it enforces</t>
        </is>
      </c>
      <c r="D4" s="4" t="inlineStr">
        <is>
          <t>Result</t>
        </is>
      </c>
    </row>
    <row r="5">
      <c r="A5" s="5" t="n">
        <v>1</v>
      </c>
      <c r="B5" s="5" t="inlineStr">
        <is>
          <t>Frequencies sum to n</t>
        </is>
      </c>
      <c r="C5" s="10" t="inlineStr">
        <is>
          <t>Donnelly rule 3: include all data values</t>
        </is>
      </c>
      <c r="D5" s="7">
        <f>IF(N(Distribution!D11)=50,"PASS","FAIL: "&amp;TEXT(N(Distribution!D11),"0")&amp;" of 50 accounted for")</f>
        <v/>
      </c>
    </row>
    <row r="6">
      <c r="A6" s="5" t="n">
        <v>2</v>
      </c>
      <c r="B6" s="5" t="inlineStr">
        <is>
          <t>Relative frequencies sum to 1.00</t>
        </is>
      </c>
      <c r="C6" s="10" t="inlineStr">
        <is>
          <t>p.28</t>
        </is>
      </c>
      <c r="D6" s="7">
        <f>IF(ABS(N(SUM(Distribution!E5:E10))-1)&lt;0.005,"PASS","FAIL: sums to "&amp;TEXT(N(SUM(Distribution!E5:E10)),"0.000"))</f>
        <v/>
      </c>
    </row>
    <row r="7">
      <c r="A7" s="5" t="n">
        <v>3</v>
      </c>
      <c r="B7" s="5" t="inlineStr">
        <is>
          <t>Cumulative column ends at 1.00</t>
        </is>
      </c>
      <c r="C7" s="10" t="inlineStr">
        <is>
          <t>p.28</t>
        </is>
      </c>
      <c r="D7" s="7">
        <f>IF(ABS(N(Distribution!F10)-1)&lt;0.005,"PASS","FAIL: ends at "&amp;TEXT(N(Distribution!F10),"0.000"))</f>
        <v/>
      </c>
    </row>
    <row r="8">
      <c r="A8" s="5" t="n">
        <v>4</v>
      </c>
      <c r="B8" s="5" t="inlineStr">
        <is>
          <t>Frequency column holds formulas, not typed numbers</t>
        </is>
      </c>
      <c r="C8" s="10" t="inlineStr">
        <is>
          <t>the reproducibility rule: change a bound, watch it move</t>
        </is>
      </c>
      <c r="D8" s="7">
        <f>IF(_xlfn.ISFORMULA(Distribution!D5),"PASS",IF(ISBLANK(Distribution!D5),"-- not yet --","FAIL: Distribution!D5 is a typed number, not a formula"))</f>
        <v/>
      </c>
    </row>
    <row r="9">
      <c r="A9" s="5" t="n">
        <v>5</v>
      </c>
      <c r="B9" s="5" t="inlineStr">
        <is>
          <t>Classes are mutually exclusive (no value in two classes)</t>
        </is>
      </c>
      <c r="C9" s="10" t="inlineStr">
        <is>
          <t>Donnelly rule 2</t>
        </is>
      </c>
      <c r="D9" s="7">
        <f>IF(N(Distribution!D11)=0,"-- not yet --",IF(N(Distribution!D11)&lt;=50,"PASS","FAIL: "&amp;TEXT(N(Distribution!D11)-50,"0")&amp;" value(s) counted twice"))</f>
        <v/>
      </c>
    </row>
    <row r="10">
      <c r="A10" s="5" t="n">
        <v>6</v>
      </c>
      <c r="B10" s="5" t="inlineStr">
        <is>
          <t>No empty classes</t>
        </is>
      </c>
      <c r="C10" s="10" t="inlineStr">
        <is>
          <t>Donnelly rule 4</t>
        </is>
      </c>
      <c r="D10" s="7">
        <f>IF(N(Distribution!D11)=0,"-- not yet --",IF(COUNTIF(Distribution!D5:D10,0)=0,"PASS","FAIL: "&amp;TEXT(COUNTIF(Distribution!D5:D10,0),"0")&amp;" empty class(es)"))</f>
        <v/>
      </c>
    </row>
    <row r="12">
      <c r="A12" s="11" t="inlineStr">
        <is>
          <t>Three things went wrong here, and a one-line prompt is why.
1. Nothing is a formula. Click D5. Change a boundary in column B and watch nothing happen.
2. The class boundaries came straight from (max - min) / 6 and were never rounded, so they read -4.20 to 0.30 instead of -5 to less than 0. Donnelly p.34 says round the estimate to a readable whole number.
3. The boundaries include BOTH endpoints, so South Carolina -- which grew exactly 13.8%, exactly a boundary -- is counted in two classes. Fifty states, fifty-one observations. That is Donnelly's rule 2.
None of this is visible in the chart, and the chart is the only part most people look at.</t>
        </is>
      </c>
    </row>
    <row r="13"/>
    <row r="14"/>
    <row r="15"/>
    <row r="16"/>
  </sheetData>
  <mergeCells count="1">
    <mergeCell ref="A12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2026-08-30T17:01:20Z</dcterms:created>
  <dcterms:modified xmlns:dcterms="http://purl.org/dc/terms/" xmlns:xsi="http://www.w3.org/2001/XMLSchema-instance" xsi:type="dcterms:W3CDTF">2026-08-30T17:01:20Z</dcterms:modified>
</cp:coreProperties>
</file>